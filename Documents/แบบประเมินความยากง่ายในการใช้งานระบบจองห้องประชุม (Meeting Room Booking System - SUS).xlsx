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hanarukchumsawat/Documents/@PP/WORK/ENGSE205_Software Process and Quality Assurance/Documents/"/>
    </mc:Choice>
  </mc:AlternateContent>
  <xr:revisionPtr revIDLastSave="0" documentId="13_ncr:1_{E106A255-A78B-714D-B075-C3BFE70AFC43}" xr6:coauthVersionLast="47" xr6:coauthVersionMax="47" xr10:uidLastSave="{00000000-0000-0000-0000-000000000000}"/>
  <bookViews>
    <workbookView xWindow="0" yWindow="780" windowWidth="36000" windowHeight="21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K22" i="1"/>
  <c r="J22" i="1"/>
  <c r="I22" i="1"/>
  <c r="H22" i="1"/>
  <c r="G22" i="1"/>
  <c r="F22" i="1"/>
  <c r="E22" i="1"/>
  <c r="D22" i="1"/>
  <c r="C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22" i="1" s="1"/>
</calcChain>
</file>

<file path=xl/sharedStrings.xml><?xml version="1.0" encoding="utf-8"?>
<sst xmlns="http://schemas.openxmlformats.org/spreadsheetml/2006/main" count="53" uniqueCount="37">
  <si>
    <t>Timestamp</t>
  </si>
  <si>
    <t>User Role</t>
  </si>
  <si>
    <t>Q1 (อยากใช้บ่อย)</t>
  </si>
  <si>
    <t>Q2 (ซับซ้อนเกิน)</t>
  </si>
  <si>
    <t>Q3 (ใช้ง่าย)</t>
  </si>
  <si>
    <t>Q4 (ต้องให้คนสอน)</t>
  </si>
  <si>
    <t>Q5 (ฟังก์ชันเชื่อมโยงดี)</t>
  </si>
  <si>
    <t>Q6 (ระบบไม่สม่ำเสมอ)</t>
  </si>
  <si>
    <t>Q7 (เรียนรู้ไว)</t>
  </si>
  <si>
    <t>Q8 (ยุ่งยาก)</t>
  </si>
  <si>
    <t>Q9 (มั่นใจ)</t>
  </si>
  <si>
    <t>Q10 (ต้องเรียนรู้เยอะ)</t>
  </si>
  <si>
    <t>SUM</t>
  </si>
  <si>
    <t>2/18/2026 9:00</t>
  </si>
  <si>
    <t>นักศึกษา</t>
  </si>
  <si>
    <t>2/18/2026 9:05</t>
  </si>
  <si>
    <t>2/18/2026 9:10</t>
  </si>
  <si>
    <t>เจ้าหน้าที่</t>
  </si>
  <si>
    <t>2/18/2026 9:15</t>
  </si>
  <si>
    <t>อาจารย์</t>
  </si>
  <si>
    <t>2/18/2026 9:20</t>
  </si>
  <si>
    <t>2/18/2026 9:30</t>
  </si>
  <si>
    <t>ผู้ดูแลระบบ</t>
  </si>
  <si>
    <t>2/18/2026 9:45</t>
  </si>
  <si>
    <t>2/18/2026 10:00</t>
  </si>
  <si>
    <t>2/18/2026 10:15</t>
  </si>
  <si>
    <t>2/18/2026 10:20</t>
  </si>
  <si>
    <t>2/18/2026 10:30</t>
  </si>
  <si>
    <t>2/18/2026 11:00</t>
  </si>
  <si>
    <t>2/18/2026 11:15</t>
  </si>
  <si>
    <t>2/18/2026 11:30</t>
  </si>
  <si>
    <t>2/18/2026 12:00</t>
  </si>
  <si>
    <t>2/18/2026 12:30</t>
  </si>
  <si>
    <t>2/18/2026 13:00</t>
  </si>
  <si>
    <t>2/18/2026 13:15</t>
  </si>
  <si>
    <t>2/18/2026 13:30</t>
  </si>
  <si>
    <t>2/18/2026 13:45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</si>
</sst>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5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emo-Data-style" pivot="0" count="5" xr9:uid="{00000000-0011-0000-FFFF-FFFF00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_Experience_Scores" displayName="User_Experience_Scores" ref="A1:M22" totalsRowCount="1">
  <tableColumns count="13">
    <tableColumn id="1" xr3:uid="{00000000-0010-0000-0000-000001000000}" name="Timestamp"/>
    <tableColumn id="2" xr3:uid="{00000000-0010-0000-0000-000002000000}" name="User Role"/>
    <tableColumn id="3" xr3:uid="{00000000-0010-0000-0000-000003000000}" name="Q1 (อยากใช้บ่อย)" totalsRowFunction="custom">
      <totalsRowFormula>AVERAGE(User_Experience_Scores[Q1 (อยากใช้บ่อย)])</totalsRowFormula>
    </tableColumn>
    <tableColumn id="4" xr3:uid="{00000000-0010-0000-0000-000004000000}" name="Q2 (ซับซ้อนเกิน)" totalsRowFunction="custom">
      <totalsRowFormula>AVERAGE(User_Experience_Scores[Q2 (ซับซ้อนเกิน)])</totalsRowFormula>
    </tableColumn>
    <tableColumn id="5" xr3:uid="{00000000-0010-0000-0000-000005000000}" name="Q3 (ใช้ง่าย)" totalsRowFunction="custom">
      <totalsRowFormula>AVERAGE(User_Experience_Scores[Q3 (ใช้ง่าย)])</totalsRowFormula>
    </tableColumn>
    <tableColumn id="6" xr3:uid="{00000000-0010-0000-0000-000006000000}" name="Q4 (ต้องให้คนสอน)" totalsRowFunction="custom">
      <totalsRowFormula>AVERAGE(User_Experience_Scores[Q4 (ต้องให้คนสอน)])</totalsRowFormula>
    </tableColumn>
    <tableColumn id="7" xr3:uid="{00000000-0010-0000-0000-000007000000}" name="Q5 (ฟังก์ชันเชื่อมโยงดี)" totalsRowFunction="custom">
      <totalsRowFormula>AVERAGE(User_Experience_Scores[Q5 (ฟังก์ชันเชื่อมโยงดี)])</totalsRowFormula>
    </tableColumn>
    <tableColumn id="8" xr3:uid="{00000000-0010-0000-0000-000008000000}" name="Q6 (ระบบไม่สม่ำเสมอ)" totalsRowFunction="custom">
      <totalsRowFormula>AVERAGE(User_Experience_Scores[Q6 (ระบบไม่สม่ำเสมอ)])</totalsRowFormula>
    </tableColumn>
    <tableColumn id="9" xr3:uid="{00000000-0010-0000-0000-000009000000}" name="Q7 (เรียนรู้ไว)" totalsRowFunction="custom">
      <totalsRowFormula>AVERAGE(User_Experience_Scores[Q7 (เรียนรู้ไว)])</totalsRowFormula>
    </tableColumn>
    <tableColumn id="10" xr3:uid="{00000000-0010-0000-0000-00000A000000}" name="Q8 (ยุ่งยาก)" totalsRowFunction="custom">
      <totalsRowFormula>AVERAGE(J3:J21)</totalsRowFormula>
    </tableColumn>
    <tableColumn id="11" xr3:uid="{00000000-0010-0000-0000-00000B000000}" name="Q9 (มั่นใจ)" totalsRowFunction="custom">
      <totalsRowFormula>AVERAGE(User_Experience_Scores[Q9 (มั่นใจ)])</totalsRowFormula>
    </tableColumn>
    <tableColumn id="12" xr3:uid="{00000000-0010-0000-0000-00000C000000}" name="Q10 (ต้องเรียนรู้เยอะ)" totalsRowFunction="custom">
      <totalsRowFormula>AVERAGE(User_Experience_Scores[Q10 (ต้องเรียนรู้เยอะ)])</totalsRowFormula>
    </tableColumn>
    <tableColumn id="13" xr3:uid="{00000000-0010-0000-0000-00000D000000}" name="SUM" totalsRowFunction="custom">
      <totalsRowFormula>AVERAGE(User_Experience_Scores[SUM])</totalsRowFormula>
    </tableColumn>
  </tableColumns>
  <tableStyleInfo name="Demo-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2"/>
  <sheetViews>
    <sheetView tabSelected="1" workbookViewId="0">
      <pane ySplit="1" topLeftCell="A2" activePane="bottomLeft" state="frozen"/>
      <selection pane="bottomLeft" activeCell="E40" sqref="E40"/>
    </sheetView>
  </sheetViews>
  <sheetFormatPr baseColWidth="10" defaultColWidth="12.6640625" defaultRowHeight="15.75" customHeight="1" x14ac:dyDescent="0.15"/>
  <cols>
    <col min="1" max="1" width="14.6640625" customWidth="1"/>
    <col min="2" max="2" width="15.83203125" customWidth="1"/>
    <col min="3" max="3" width="21.1640625" customWidth="1"/>
    <col min="4" max="4" width="20" customWidth="1"/>
    <col min="5" max="5" width="17" customWidth="1"/>
    <col min="6" max="6" width="22.1640625" customWidth="1"/>
    <col min="7" max="7" width="24.5" customWidth="1"/>
    <col min="8" max="8" width="24.1640625" customWidth="1"/>
    <col min="9" max="9" width="18.1640625" customWidth="1"/>
    <col min="10" max="10" width="17.1640625" customWidth="1"/>
    <col min="11" max="11" width="16.1640625" customWidth="1"/>
    <col min="12" max="12" width="23.5" customWidth="1"/>
  </cols>
  <sheetData>
    <row r="1" spans="1:13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15">
      <c r="A2" s="2" t="s">
        <v>13</v>
      </c>
      <c r="B2" s="2" t="s">
        <v>14</v>
      </c>
      <c r="C2" s="2">
        <v>5</v>
      </c>
      <c r="D2" s="2">
        <v>1</v>
      </c>
      <c r="E2" s="2">
        <v>5</v>
      </c>
      <c r="F2" s="2">
        <v>1</v>
      </c>
      <c r="G2" s="2">
        <v>5</v>
      </c>
      <c r="H2" s="2">
        <v>1</v>
      </c>
      <c r="I2" s="2">
        <v>5</v>
      </c>
      <c r="J2" s="2">
        <v>1</v>
      </c>
      <c r="K2" s="2">
        <v>5</v>
      </c>
      <c r="L2" s="2">
        <v>1</v>
      </c>
      <c r="M2" s="2">
        <f t="shared" ref="M2:M21" si="0">((C2-1) + (5-D2) + (E2-1) + (5-F2) + (G2-1) + (5-H2) + (I2-1) + (5-J2) + (K2-1) + (5-L2)) * 2.5</f>
        <v>100</v>
      </c>
    </row>
    <row r="3" spans="1:13" ht="22.5" customHeight="1" x14ac:dyDescent="0.15">
      <c r="A3" s="2" t="s">
        <v>15</v>
      </c>
      <c r="B3" s="2" t="s">
        <v>14</v>
      </c>
      <c r="C3" s="2">
        <v>4</v>
      </c>
      <c r="D3" s="2">
        <v>2</v>
      </c>
      <c r="E3" s="2">
        <v>4</v>
      </c>
      <c r="F3" s="2">
        <v>2</v>
      </c>
      <c r="G3" s="2">
        <v>4</v>
      </c>
      <c r="H3" s="2">
        <v>2</v>
      </c>
      <c r="I3" s="2">
        <v>4</v>
      </c>
      <c r="J3" s="2">
        <v>2</v>
      </c>
      <c r="K3" s="2">
        <v>4</v>
      </c>
      <c r="L3" s="2">
        <v>2</v>
      </c>
      <c r="M3" s="2">
        <f t="shared" si="0"/>
        <v>75</v>
      </c>
    </row>
    <row r="4" spans="1:13" ht="22.5" customHeight="1" x14ac:dyDescent="0.15">
      <c r="A4" s="2" t="s">
        <v>16</v>
      </c>
      <c r="B4" s="2" t="s">
        <v>17</v>
      </c>
      <c r="C4" s="2">
        <v>5</v>
      </c>
      <c r="D4" s="2">
        <v>1</v>
      </c>
      <c r="E4" s="2">
        <v>5</v>
      </c>
      <c r="F4" s="2">
        <v>2</v>
      </c>
      <c r="G4" s="2">
        <v>4</v>
      </c>
      <c r="H4" s="2">
        <v>1</v>
      </c>
      <c r="I4" s="2">
        <v>5</v>
      </c>
      <c r="J4" s="2">
        <v>1</v>
      </c>
      <c r="K4" s="2">
        <v>4</v>
      </c>
      <c r="L4" s="2">
        <v>1</v>
      </c>
      <c r="M4" s="2">
        <f t="shared" si="0"/>
        <v>92.5</v>
      </c>
    </row>
    <row r="5" spans="1:13" ht="22.5" customHeight="1" x14ac:dyDescent="0.15">
      <c r="A5" s="2" t="s">
        <v>18</v>
      </c>
      <c r="B5" s="2" t="s">
        <v>19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f t="shared" si="0"/>
        <v>50</v>
      </c>
    </row>
    <row r="6" spans="1:13" ht="22.5" customHeight="1" x14ac:dyDescent="0.15">
      <c r="A6" s="2" t="s">
        <v>20</v>
      </c>
      <c r="B6" s="2" t="s">
        <v>14</v>
      </c>
      <c r="C6" s="2">
        <v>5</v>
      </c>
      <c r="D6" s="2">
        <v>1</v>
      </c>
      <c r="E6" s="2">
        <v>5</v>
      </c>
      <c r="F6" s="2">
        <v>1</v>
      </c>
      <c r="G6" s="2">
        <v>5</v>
      </c>
      <c r="H6" s="2">
        <v>1</v>
      </c>
      <c r="I6" s="2">
        <v>5</v>
      </c>
      <c r="J6" s="2">
        <v>1</v>
      </c>
      <c r="K6" s="2">
        <v>5</v>
      </c>
      <c r="L6" s="2">
        <v>1</v>
      </c>
      <c r="M6" s="2">
        <f t="shared" si="0"/>
        <v>100</v>
      </c>
    </row>
    <row r="7" spans="1:13" ht="22.5" customHeight="1" x14ac:dyDescent="0.15">
      <c r="A7" s="2" t="s">
        <v>21</v>
      </c>
      <c r="B7" s="2" t="s">
        <v>22</v>
      </c>
      <c r="C7" s="2">
        <v>4</v>
      </c>
      <c r="D7" s="2">
        <v>2</v>
      </c>
      <c r="E7" s="2">
        <v>5</v>
      </c>
      <c r="F7" s="2">
        <v>1</v>
      </c>
      <c r="G7" s="2">
        <v>4</v>
      </c>
      <c r="H7" s="2">
        <v>2</v>
      </c>
      <c r="I7" s="2">
        <v>5</v>
      </c>
      <c r="J7" s="2">
        <v>2</v>
      </c>
      <c r="K7" s="2">
        <v>4</v>
      </c>
      <c r="L7" s="2">
        <v>2</v>
      </c>
      <c r="M7" s="2">
        <f t="shared" si="0"/>
        <v>82.5</v>
      </c>
    </row>
    <row r="8" spans="1:13" ht="22.5" customHeight="1" x14ac:dyDescent="0.15">
      <c r="A8" s="2" t="s">
        <v>23</v>
      </c>
      <c r="B8" s="2" t="s">
        <v>14</v>
      </c>
      <c r="C8" s="2">
        <v>2</v>
      </c>
      <c r="D8" s="2">
        <v>4</v>
      </c>
      <c r="E8" s="2">
        <v>2</v>
      </c>
      <c r="F8" s="2">
        <v>4</v>
      </c>
      <c r="G8" s="2">
        <v>3</v>
      </c>
      <c r="H8" s="2">
        <v>4</v>
      </c>
      <c r="I8" s="2">
        <v>2</v>
      </c>
      <c r="J8" s="2">
        <v>4</v>
      </c>
      <c r="K8" s="2">
        <v>2</v>
      </c>
      <c r="L8" s="2">
        <v>4</v>
      </c>
      <c r="M8" s="2">
        <f t="shared" si="0"/>
        <v>27.5</v>
      </c>
    </row>
    <row r="9" spans="1:13" ht="22.5" customHeight="1" x14ac:dyDescent="0.15">
      <c r="A9" s="2" t="s">
        <v>24</v>
      </c>
      <c r="B9" s="2" t="s">
        <v>17</v>
      </c>
      <c r="C9" s="2">
        <v>5</v>
      </c>
      <c r="D9" s="2">
        <v>1</v>
      </c>
      <c r="E9" s="2">
        <v>4</v>
      </c>
      <c r="F9" s="2">
        <v>1</v>
      </c>
      <c r="G9" s="2">
        <v>5</v>
      </c>
      <c r="H9" s="2">
        <v>2</v>
      </c>
      <c r="I9" s="2">
        <v>4</v>
      </c>
      <c r="J9" s="2">
        <v>1</v>
      </c>
      <c r="K9" s="2">
        <v>5</v>
      </c>
      <c r="L9" s="2">
        <v>1</v>
      </c>
      <c r="M9" s="2">
        <f t="shared" si="0"/>
        <v>92.5</v>
      </c>
    </row>
    <row r="10" spans="1:13" ht="22.5" customHeight="1" x14ac:dyDescent="0.15">
      <c r="A10" s="2" t="s">
        <v>25</v>
      </c>
      <c r="B10" s="2" t="s">
        <v>14</v>
      </c>
      <c r="C10" s="2">
        <v>4</v>
      </c>
      <c r="D10" s="2">
        <v>2</v>
      </c>
      <c r="E10" s="2">
        <v>5</v>
      </c>
      <c r="F10" s="2">
        <v>1</v>
      </c>
      <c r="G10" s="2">
        <v>5</v>
      </c>
      <c r="H10" s="2">
        <v>1</v>
      </c>
      <c r="I10" s="2">
        <v>5</v>
      </c>
      <c r="J10" s="2">
        <v>2</v>
      </c>
      <c r="K10" s="2">
        <v>5</v>
      </c>
      <c r="L10" s="2">
        <v>2</v>
      </c>
      <c r="M10" s="2">
        <f t="shared" si="0"/>
        <v>90</v>
      </c>
    </row>
    <row r="11" spans="1:13" ht="22.5" customHeight="1" x14ac:dyDescent="0.15">
      <c r="A11" s="2" t="s">
        <v>26</v>
      </c>
      <c r="B11" s="2" t="s">
        <v>19</v>
      </c>
      <c r="C11" s="2">
        <v>3</v>
      </c>
      <c r="D11" s="2">
        <v>2</v>
      </c>
      <c r="E11" s="2">
        <v>4</v>
      </c>
      <c r="F11" s="2">
        <v>2</v>
      </c>
      <c r="G11" s="2">
        <v>3</v>
      </c>
      <c r="H11" s="2">
        <v>2</v>
      </c>
      <c r="I11" s="2">
        <v>4</v>
      </c>
      <c r="J11" s="2">
        <v>2</v>
      </c>
      <c r="K11" s="2">
        <v>3</v>
      </c>
      <c r="L11" s="2">
        <v>2</v>
      </c>
      <c r="M11" s="2">
        <f t="shared" si="0"/>
        <v>67.5</v>
      </c>
    </row>
    <row r="12" spans="1:13" ht="22.5" customHeight="1" x14ac:dyDescent="0.15">
      <c r="A12" s="2" t="s">
        <v>27</v>
      </c>
      <c r="B12" s="2" t="s">
        <v>14</v>
      </c>
      <c r="C12" s="2">
        <v>5</v>
      </c>
      <c r="D12" s="2">
        <v>1</v>
      </c>
      <c r="E12" s="2">
        <v>5</v>
      </c>
      <c r="F12" s="2">
        <v>1</v>
      </c>
      <c r="G12" s="2">
        <v>5</v>
      </c>
      <c r="H12" s="2">
        <v>1</v>
      </c>
      <c r="I12" s="2">
        <v>5</v>
      </c>
      <c r="J12" s="2">
        <v>1</v>
      </c>
      <c r="K12" s="2">
        <v>5</v>
      </c>
      <c r="L12" s="2">
        <v>1</v>
      </c>
      <c r="M12" s="2">
        <f t="shared" si="0"/>
        <v>100</v>
      </c>
    </row>
    <row r="13" spans="1:13" ht="22.5" customHeight="1" x14ac:dyDescent="0.15">
      <c r="A13" s="2" t="s">
        <v>28</v>
      </c>
      <c r="B13" s="2" t="s">
        <v>22</v>
      </c>
      <c r="C13" s="2">
        <v>4</v>
      </c>
      <c r="D13" s="2">
        <v>1</v>
      </c>
      <c r="E13" s="2">
        <v>4</v>
      </c>
      <c r="F13" s="2">
        <v>1</v>
      </c>
      <c r="G13" s="2">
        <v>5</v>
      </c>
      <c r="H13" s="2">
        <v>1</v>
      </c>
      <c r="I13" s="2">
        <v>4</v>
      </c>
      <c r="J13" s="2">
        <v>1</v>
      </c>
      <c r="K13" s="2">
        <v>4</v>
      </c>
      <c r="L13" s="2">
        <v>1</v>
      </c>
      <c r="M13" s="2">
        <f t="shared" si="0"/>
        <v>90</v>
      </c>
    </row>
    <row r="14" spans="1:13" ht="22.5" customHeight="1" x14ac:dyDescent="0.15">
      <c r="A14" s="2" t="s">
        <v>29</v>
      </c>
      <c r="B14" s="2" t="s">
        <v>17</v>
      </c>
      <c r="C14" s="2">
        <v>2</v>
      </c>
      <c r="D14" s="2">
        <v>3</v>
      </c>
      <c r="E14" s="2">
        <v>3</v>
      </c>
      <c r="F14" s="2">
        <v>3</v>
      </c>
      <c r="G14" s="2">
        <v>2</v>
      </c>
      <c r="H14" s="2">
        <v>3</v>
      </c>
      <c r="I14" s="2">
        <v>3</v>
      </c>
      <c r="J14" s="2">
        <v>3</v>
      </c>
      <c r="K14" s="2">
        <v>2</v>
      </c>
      <c r="L14" s="2">
        <v>3</v>
      </c>
      <c r="M14" s="2">
        <f t="shared" si="0"/>
        <v>42.5</v>
      </c>
    </row>
    <row r="15" spans="1:13" ht="22.5" customHeight="1" x14ac:dyDescent="0.15">
      <c r="A15" s="2" t="s">
        <v>30</v>
      </c>
      <c r="B15" s="2" t="s">
        <v>14</v>
      </c>
      <c r="C15" s="2">
        <v>5</v>
      </c>
      <c r="D15" s="2">
        <v>1</v>
      </c>
      <c r="E15" s="2">
        <v>5</v>
      </c>
      <c r="F15" s="2">
        <v>1</v>
      </c>
      <c r="G15" s="2">
        <v>5</v>
      </c>
      <c r="H15" s="2">
        <v>1</v>
      </c>
      <c r="I15" s="2">
        <v>5</v>
      </c>
      <c r="J15" s="2">
        <v>1</v>
      </c>
      <c r="K15" s="2">
        <v>5</v>
      </c>
      <c r="L15" s="2">
        <v>1</v>
      </c>
      <c r="M15" s="2">
        <f t="shared" si="0"/>
        <v>100</v>
      </c>
    </row>
    <row r="16" spans="1:13" ht="22.5" customHeight="1" x14ac:dyDescent="0.15">
      <c r="A16" s="2" t="s">
        <v>31</v>
      </c>
      <c r="B16" s="2" t="s">
        <v>14</v>
      </c>
      <c r="C16" s="2">
        <v>4</v>
      </c>
      <c r="D16" s="2">
        <v>2</v>
      </c>
      <c r="E16" s="2">
        <v>4</v>
      </c>
      <c r="F16" s="2">
        <v>2</v>
      </c>
      <c r="G16" s="2">
        <v>4</v>
      </c>
      <c r="H16" s="2">
        <v>2</v>
      </c>
      <c r="I16" s="2">
        <v>4</v>
      </c>
      <c r="J16" s="2">
        <v>2</v>
      </c>
      <c r="K16" s="2">
        <v>4</v>
      </c>
      <c r="L16" s="2">
        <v>2</v>
      </c>
      <c r="M16" s="2">
        <f t="shared" si="0"/>
        <v>75</v>
      </c>
    </row>
    <row r="17" spans="1:13" ht="22.5" customHeight="1" x14ac:dyDescent="0.15">
      <c r="A17" s="2" t="s">
        <v>32</v>
      </c>
      <c r="B17" s="2" t="s">
        <v>19</v>
      </c>
      <c r="C17" s="2">
        <v>3</v>
      </c>
      <c r="D17" s="2">
        <v>4</v>
      </c>
      <c r="E17" s="2">
        <v>2</v>
      </c>
      <c r="F17" s="2">
        <v>4</v>
      </c>
      <c r="G17" s="2">
        <v>3</v>
      </c>
      <c r="H17" s="2">
        <v>4</v>
      </c>
      <c r="I17" s="2">
        <v>3</v>
      </c>
      <c r="J17" s="2">
        <v>3</v>
      </c>
      <c r="K17" s="2">
        <v>2</v>
      </c>
      <c r="L17" s="2">
        <v>3</v>
      </c>
      <c r="M17" s="2">
        <f t="shared" si="0"/>
        <v>37.5</v>
      </c>
    </row>
    <row r="18" spans="1:13" ht="22.5" customHeight="1" x14ac:dyDescent="0.15">
      <c r="A18" s="2" t="s">
        <v>33</v>
      </c>
      <c r="B18" s="2" t="s">
        <v>14</v>
      </c>
      <c r="C18" s="2">
        <v>5</v>
      </c>
      <c r="D18" s="2">
        <v>1</v>
      </c>
      <c r="E18" s="2">
        <v>5</v>
      </c>
      <c r="F18" s="2">
        <v>1</v>
      </c>
      <c r="G18" s="2">
        <v>5</v>
      </c>
      <c r="H18" s="2">
        <v>1</v>
      </c>
      <c r="I18" s="2">
        <v>5</v>
      </c>
      <c r="J18" s="2">
        <v>1</v>
      </c>
      <c r="K18" s="2">
        <v>5</v>
      </c>
      <c r="L18" s="2">
        <v>1</v>
      </c>
      <c r="M18" s="2">
        <f t="shared" si="0"/>
        <v>100</v>
      </c>
    </row>
    <row r="19" spans="1:13" ht="22.5" customHeight="1" x14ac:dyDescent="0.15">
      <c r="A19" s="2" t="s">
        <v>34</v>
      </c>
      <c r="B19" s="2" t="s">
        <v>17</v>
      </c>
      <c r="C19" s="2">
        <v>4</v>
      </c>
      <c r="D19" s="2">
        <v>1</v>
      </c>
      <c r="E19" s="2">
        <v>5</v>
      </c>
      <c r="F19" s="2">
        <v>1</v>
      </c>
      <c r="G19" s="2">
        <v>4</v>
      </c>
      <c r="H19" s="2">
        <v>1</v>
      </c>
      <c r="I19" s="2">
        <v>5</v>
      </c>
      <c r="J19" s="2">
        <v>1</v>
      </c>
      <c r="K19" s="2">
        <v>4</v>
      </c>
      <c r="L19" s="2">
        <v>1</v>
      </c>
      <c r="M19" s="2">
        <f t="shared" si="0"/>
        <v>92.5</v>
      </c>
    </row>
    <row r="20" spans="1:13" ht="22.5" customHeight="1" x14ac:dyDescent="0.15">
      <c r="A20" s="2" t="s">
        <v>35</v>
      </c>
      <c r="B20" s="2" t="s">
        <v>14</v>
      </c>
      <c r="C20" s="2">
        <v>5</v>
      </c>
      <c r="D20" s="2">
        <v>2</v>
      </c>
      <c r="E20" s="2">
        <v>4</v>
      </c>
      <c r="F20" s="2">
        <v>1</v>
      </c>
      <c r="G20" s="2">
        <v>5</v>
      </c>
      <c r="H20" s="2">
        <v>1</v>
      </c>
      <c r="I20" s="2">
        <v>5</v>
      </c>
      <c r="J20" s="2">
        <v>2</v>
      </c>
      <c r="K20" s="2">
        <v>5</v>
      </c>
      <c r="L20" s="2">
        <v>1</v>
      </c>
      <c r="M20" s="2">
        <f t="shared" si="0"/>
        <v>92.5</v>
      </c>
    </row>
    <row r="21" spans="1:13" ht="22.5" customHeight="1" x14ac:dyDescent="0.15">
      <c r="A21" s="2" t="s">
        <v>36</v>
      </c>
      <c r="B21" s="2" t="s">
        <v>14</v>
      </c>
      <c r="C21" s="2">
        <v>4</v>
      </c>
      <c r="D21" s="2">
        <v>2</v>
      </c>
      <c r="E21" s="2">
        <v>5</v>
      </c>
      <c r="F21" s="2">
        <v>2</v>
      </c>
      <c r="G21" s="2">
        <v>4</v>
      </c>
      <c r="H21" s="2">
        <v>2</v>
      </c>
      <c r="I21" s="2">
        <v>4</v>
      </c>
      <c r="J21" s="2">
        <v>1</v>
      </c>
      <c r="K21" s="2">
        <v>4</v>
      </c>
      <c r="L21" s="2">
        <v>2</v>
      </c>
      <c r="M21" s="2">
        <f t="shared" si="0"/>
        <v>80</v>
      </c>
    </row>
    <row r="22" spans="1:13" ht="22.5" customHeight="1" x14ac:dyDescent="0.15">
      <c r="A22" s="2"/>
      <c r="B22" s="2"/>
      <c r="C22" s="3">
        <f>AVERAGE(User_Experience_Scores[Q1 (อยากใช้บ่อย)])</f>
        <v>4.05</v>
      </c>
      <c r="D22" s="3">
        <f>AVERAGE(User_Experience_Scores[Q2 (ซับซ้อนเกิน)])</f>
        <v>1.85</v>
      </c>
      <c r="E22" s="3">
        <f>AVERAGE(User_Experience_Scores[Q3 (ใช้ง่าย)])</f>
        <v>4.2</v>
      </c>
      <c r="F22" s="3">
        <f>AVERAGE(User_Experience_Scores[Q4 (ต้องให้คนสอน)])</f>
        <v>1.75</v>
      </c>
      <c r="G22" s="3">
        <f>AVERAGE(User_Experience_Scores[Q5 (ฟังก์ชันเชื่อมโยงดี)])</f>
        <v>4.1500000000000004</v>
      </c>
      <c r="H22" s="2">
        <f>AVERAGE(User_Experience_Scores[Q6 (ระบบไม่สม่ำเสมอ)])</f>
        <v>1.8</v>
      </c>
      <c r="I22" s="3">
        <f>AVERAGE(User_Experience_Scores[Q7 (เรียนรู้ไว)])</f>
        <v>4.25</v>
      </c>
      <c r="J22" s="3">
        <f>AVERAGE(J3:J21)</f>
        <v>1.7894736842105263</v>
      </c>
      <c r="K22" s="3">
        <f>AVERAGE(User_Experience_Scores[Q9 (มั่นใจ)])</f>
        <v>4</v>
      </c>
      <c r="L22" s="3">
        <f>AVERAGE(User_Experience_Scores[Q10 (ต้องเรียนรู้เยอะ)])</f>
        <v>1.75</v>
      </c>
      <c r="M22" s="3">
        <f>AVERAGE(User_Experience_Scores[SUM])</f>
        <v>79.375</v>
      </c>
    </row>
  </sheetData>
  <dataValidations count="2">
    <dataValidation type="list" allowBlank="1" showDropDown="1" showErrorMessage="1" sqref="B2:B21" xr:uid="{00000000-0002-0000-0000-000000000000}">
      <formula1>"นักศึกษา,เจ้าหน้าที่,อาจารย์,ผู้ดูแลระบบ"</formula1>
    </dataValidation>
    <dataValidation type="custom" allowBlank="1" showDropDown="1" sqref="C2:L21" xr:uid="{00000000-0002-0000-00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Thanarak Chumsawat</cp:lastModifiedBy>
  <dcterms:modified xsi:type="dcterms:W3CDTF">2026-02-18T17:10:04Z</dcterms:modified>
</cp:coreProperties>
</file>